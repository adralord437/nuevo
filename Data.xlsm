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conometria - Efecto del COVID-19\"/>
    </mc:Choice>
  </mc:AlternateContent>
  <xr:revisionPtr revIDLastSave="0" documentId="13_ncr:1_{1323735C-8142-4B19-9C06-CEB74C3D0070}" xr6:coauthVersionLast="45" xr6:coauthVersionMax="45" xr10:uidLastSave="{00000000-0000-0000-0000-000000000000}"/>
  <bookViews>
    <workbookView xWindow="-120" yWindow="-120" windowWidth="20730" windowHeight="11760" xr2:uid="{DEDC36CA-AAE5-4506-93A9-E0859670BE53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" l="1"/>
  <c r="E2" i="1"/>
  <c r="F3" i="1"/>
  <c r="F2" i="1"/>
  <c r="M3" i="1"/>
  <c r="I19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3" i="1"/>
  <c r="F19" i="1"/>
  <c r="F9" i="1"/>
  <c r="F11" i="1"/>
  <c r="E11" i="1"/>
  <c r="E8" i="1"/>
  <c r="F8" i="1" s="1"/>
  <c r="E4" i="1"/>
  <c r="F4" i="1" s="1"/>
  <c r="E19" i="1"/>
  <c r="E5" i="1"/>
  <c r="F5" i="1" s="1"/>
  <c r="E6" i="1"/>
  <c r="F6" i="1" s="1"/>
  <c r="E7" i="1"/>
  <c r="F7" i="1" s="1"/>
  <c r="E9" i="1"/>
  <c r="E10" i="1"/>
  <c r="F10" i="1" s="1"/>
  <c r="E12" i="1"/>
  <c r="F12" i="1" s="1"/>
  <c r="E13" i="1"/>
  <c r="F13" i="1" s="1"/>
  <c r="E14" i="1"/>
  <c r="F14" i="1" s="1"/>
  <c r="E15" i="1"/>
  <c r="F15" i="1" s="1"/>
  <c r="E16" i="1"/>
  <c r="F16" i="1" s="1"/>
  <c r="E17" i="1"/>
  <c r="F17" i="1" s="1"/>
  <c r="E18" i="1"/>
  <c r="F18" i="1" s="1"/>
</calcChain>
</file>

<file path=xl/sharedStrings.xml><?xml version="1.0" encoding="utf-8"?>
<sst xmlns="http://schemas.openxmlformats.org/spreadsheetml/2006/main" count="28" uniqueCount="28">
  <si>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</si>
  <si>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</si>
  <si>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</si>
  <si>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</si>
  <si>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</si>
  <si>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</si>
  <si>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</si>
  <si>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</si>
  <si>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</si>
  <si>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</si>
  <si>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</si>
  <si>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</si>
  <si>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</si>
  <si>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</si>
  <si>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</si>
  <si>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</si>
  <si>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</si>
  <si>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</si>
  <si>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Fuente: Data OECD Tax Revenue Honduras; BCH</t>
  </si>
  <si>
    <t>Año</t>
  </si>
  <si>
    <t>PIB_Real</t>
  </si>
  <si>
    <t>Ingresos Fiscales</t>
  </si>
  <si>
    <t>PIB_Nominal</t>
  </si>
  <si>
    <t>Deflactor_PIB</t>
  </si>
  <si>
    <t>Tasa_Crec_PIB</t>
  </si>
  <si>
    <t>Tasa_Crec_IF</t>
  </si>
  <si>
    <t>IF_Deflactados</t>
  </si>
  <si>
    <t>Tasa_Desempleo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</si>
</sst>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\-#,##0\ "/>
    <numFmt numFmtId="166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indexed="9"/>
      <name val="Verdana"/>
      <family val="2"/>
    </font>
    <font>
      <sz val="8"/>
      <name val="Arial"/>
      <family val="2"/>
    </font>
    <font>
      <sz val="12"/>
      <name val="Helv"/>
    </font>
  </fonts>
  <fills count="3">
    <fill>
      <patternFill patternType="none"/>
    </fill>
    <fill>
      <patternFill patternType="gray125"/>
    </fill>
    <fill>
      <patternFill patternType="solid">
        <fgColor rgb="FF00A1E3"/>
        <bgColor indexed="64"/>
      </patternFill>
    </fill>
  </fills>
  <borders count="2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/>
    <xf numFmtId="37" fontId="5" fillId="0" borderId="0" applyFont="0"/>
  </cellStyleXfs>
  <cellXfs count="9">
    <xf numFmtId="0" fontId="0" fillId="0" borderId="0" xfId="0"/>
    <xf numFmtId="0" fontId="3" fillId="2" borderId="1" xfId="2" applyFont="1" applyFill="1" applyBorder="1" applyAlignment="1">
      <alignment horizontal="center" vertical="top" wrapText="1"/>
    </xf>
    <xf numFmtId="164" fontId="4" fillId="0" borderId="1" xfId="2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/>
    <xf numFmtId="166" fontId="0" fillId="0" borderId="0" xfId="1" applyNumberFormat="1" applyFont="1"/>
    <xf numFmtId="0" fontId="0" fillId="0" borderId="0" xfId="0"/>
    <xf numFmtId="0" fontId="0" fillId="0" borderId="0" xfId="1" applyNumberFormat="1" applyFont="1"/>
    <xf numFmtId="0" fontId="0" fillId="0" borderId="0" xfId="0" applyNumberFormat="1"/>
  </cellXfs>
  <cellStyles count="4">
    <cellStyle name="Normal" xfId="0" builtinId="0"/>
    <cellStyle name="Normal 2" xfId="2" xr:uid="{32F6A7FF-D57B-4FC0-8DA8-34F48FC9E5D6}"/>
    <cellStyle name="Normal 3" xfId="3" xr:uid="{8DA9D99E-94B2-47B6-A54A-986CFE41C83E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DD99A-9216-46F6-9199-4BA5C1F29EE9}">
  <dimension ref="A1:W26"/>
  <sheetViews>
    <sheetView tabSelected="1" workbookViewId="0">
      <selection activeCell="E7" sqref="E7"/>
    </sheetView>
  </sheetViews>
  <sheetFormatPr defaultRowHeight="15" x14ac:dyDescent="0.25"/>
  <cols>
    <col min="2" max="2" width="15.85546875" bestFit="1" customWidth="1"/>
    <col min="3" max="3" width="12.42578125" bestFit="1" customWidth="1"/>
    <col min="4" max="4" width="9" bestFit="1" customWidth="1"/>
    <col min="5" max="5" width="13.140625" bestFit="1" customWidth="1"/>
    <col min="6" max="6" width="14.140625" bestFit="1" customWidth="1"/>
    <col min="7" max="7" width="16.140625" bestFit="1" customWidth="1"/>
    <col min="8" max="8" width="13.7109375" bestFit="1" customWidth="1"/>
    <col min="9" max="9" width="12.28515625" bestFit="1" customWidth="1"/>
  </cols>
  <sheetData>
    <row r="1" spans="1:13" x14ac:dyDescent="0.25">
      <c r="A1" t="s">
        <v>19</v>
      </c>
      <c r="B1" t="s">
        <v>21</v>
      </c>
      <c r="C1" t="s">
        <v>22</v>
      </c>
      <c r="D1" t="s">
        <v>20</v>
      </c>
      <c r="E1" t="s">
        <v>23</v>
      </c>
      <c r="F1" t="s">
        <v>26</v>
      </c>
      <c r="G1" t="s">
        <v>27</v>
      </c>
      <c r="H1" t="s">
        <v>24</v>
      </c>
      <c r="I1" t="s">
        <v>25</v>
      </c>
    </row>
    <row r="2" spans="1:13" x14ac:dyDescent="0.25">
      <c r="A2" s="1" t="s">
        <v>0</v>
      </c>
      <c r="B2" s="2">
        <v>17306.936000000002</v>
      </c>
      <c r="C2">
        <v>106654.2</v>
      </c>
      <c r="D2">
        <v>106654.2</v>
      </c>
      <c r="E2">
        <f>(C2/D2)*100</f>
        <v>100</v>
      </c>
      <c r="F2">
        <f>(B2/E2)*100</f>
        <v>17306.936000000002</v>
      </c>
      <c r="G2" s="6"/>
    </row>
    <row r="3" spans="1:13" x14ac:dyDescent="0.25">
      <c r="A3" s="1" t="s">
        <v>1</v>
      </c>
      <c r="B3" s="2">
        <v>19283.243999999999</v>
      </c>
      <c r="C3">
        <v>118415.7</v>
      </c>
      <c r="D3">
        <v>109558.6</v>
      </c>
      <c r="E3">
        <f>(C3/D3)*100</f>
        <v>108.08434938014906</v>
      </c>
      <c r="F3">
        <f>(B3/E3)*100</f>
        <v>17840.921567819132</v>
      </c>
      <c r="G3" s="6">
        <v>4</v>
      </c>
      <c r="H3" s="7">
        <f>((D3-D2)/D2) *$K$3</f>
        <v>2.7231932732138153</v>
      </c>
      <c r="I3" s="7">
        <f>((F3-F2)/F2)*$K$3</f>
        <v>3.0853847718575409</v>
      </c>
      <c r="K3" s="7">
        <v>100</v>
      </c>
      <c r="M3">
        <f>(B3-B2)/B2</f>
        <v>0.11419167436685483</v>
      </c>
    </row>
    <row r="4" spans="1:13" x14ac:dyDescent="0.25">
      <c r="A4" s="1" t="s">
        <v>2</v>
      </c>
      <c r="B4" s="2">
        <v>21480.275000000001</v>
      </c>
      <c r="C4">
        <v>129166.60000000002</v>
      </c>
      <c r="D4">
        <v>113671.8</v>
      </c>
      <c r="E4">
        <f>(C4/D4)*100</f>
        <v>113.63117325493219</v>
      </c>
      <c r="F4">
        <f>(B4/E4)*100</f>
        <v>18903.505424351188</v>
      </c>
      <c r="G4" s="6">
        <v>4.0199999809265101</v>
      </c>
      <c r="H4" s="7">
        <f t="shared" ref="H4:H19" si="0">((D4-D3)/D3) *$K$3</f>
        <v>3.7543378611993914</v>
      </c>
      <c r="I4" s="7">
        <f t="shared" ref="I4:I18" si="1">((F4-F3)/F3)*$K$3</f>
        <v>5.9558798714115158</v>
      </c>
      <c r="K4" s="5"/>
    </row>
    <row r="5" spans="1:13" x14ac:dyDescent="0.25">
      <c r="A5" s="1" t="s">
        <v>3</v>
      </c>
      <c r="B5" s="2">
        <v>24705.61</v>
      </c>
      <c r="C5">
        <v>142817.79999999996</v>
      </c>
      <c r="D5">
        <v>118840.5</v>
      </c>
      <c r="E5">
        <f>(C5/D5)*100</f>
        <v>120.17603426441319</v>
      </c>
      <c r="F5">
        <f>(B5/E5)*100</f>
        <v>20557.850948586245</v>
      </c>
      <c r="G5" s="6">
        <v>5.3000001907348597</v>
      </c>
      <c r="H5" s="7">
        <f t="shared" si="0"/>
        <v>4.5470380516539697</v>
      </c>
      <c r="I5" s="7">
        <f t="shared" si="1"/>
        <v>8.7515277568781311</v>
      </c>
      <c r="K5" s="5"/>
    </row>
    <row r="6" spans="1:13" x14ac:dyDescent="0.25">
      <c r="A6" s="1" t="s">
        <v>4</v>
      </c>
      <c r="B6" s="2">
        <v>29146.424999999999</v>
      </c>
      <c r="C6">
        <v>161507.5</v>
      </c>
      <c r="D6">
        <v>126247</v>
      </c>
      <c r="E6">
        <f>(C6/D6)*100</f>
        <v>127.92977258865557</v>
      </c>
      <c r="F6">
        <f>(B6/E6)*100</f>
        <v>22783.144541120382</v>
      </c>
      <c r="G6" s="6">
        <v>5.9899997711181596</v>
      </c>
      <c r="H6" s="7">
        <f t="shared" si="0"/>
        <v>6.2323029606910101</v>
      </c>
      <c r="I6" s="7">
        <f t="shared" si="1"/>
        <v>10.824543859664328</v>
      </c>
      <c r="K6" s="5"/>
    </row>
    <row r="7" spans="1:13" x14ac:dyDescent="0.25">
      <c r="A7" s="1" t="s">
        <v>5</v>
      </c>
      <c r="B7" s="2">
        <v>32973.449999999997</v>
      </c>
      <c r="C7">
        <v>183747.4</v>
      </c>
      <c r="D7">
        <v>133885.70000000001</v>
      </c>
      <c r="E7">
        <f>(C7/D7)*100</f>
        <v>137.24199074285005</v>
      </c>
      <c r="F7">
        <f>(B7/E7)*100</f>
        <v>24025.773614565431</v>
      </c>
      <c r="G7" s="6">
        <v>4.9086999893188503</v>
      </c>
      <c r="H7" s="7">
        <f t="shared" si="0"/>
        <v>6.050599222159744</v>
      </c>
      <c r="I7" s="7">
        <f t="shared" si="1"/>
        <v>5.4541596363148086</v>
      </c>
      <c r="K7" s="5"/>
    </row>
    <row r="8" spans="1:13" x14ac:dyDescent="0.25">
      <c r="A8" s="1" t="s">
        <v>6</v>
      </c>
      <c r="B8" s="2">
        <v>37668.68</v>
      </c>
      <c r="C8">
        <v>206288</v>
      </c>
      <c r="D8">
        <v>142678.29999999999</v>
      </c>
      <c r="E8">
        <f>(C8/D8)*100</f>
        <v>144.58260296064645</v>
      </c>
      <c r="F8">
        <f>(B8/E8)*100</f>
        <v>26053.397316586517</v>
      </c>
      <c r="G8" s="6">
        <v>3.5745000839233398</v>
      </c>
      <c r="H8" s="7">
        <f t="shared" si="0"/>
        <v>6.5672435517758627</v>
      </c>
      <c r="I8" s="7">
        <f t="shared" si="1"/>
        <v>8.4393690482118586</v>
      </c>
      <c r="K8" s="5"/>
    </row>
    <row r="9" spans="1:13" x14ac:dyDescent="0.25">
      <c r="A9" s="1" t="s">
        <v>7</v>
      </c>
      <c r="B9" s="2">
        <v>45763.16</v>
      </c>
      <c r="C9">
        <v>233567.2</v>
      </c>
      <c r="D9">
        <v>151507.70000000001</v>
      </c>
      <c r="E9">
        <f>(C9/D9)*100</f>
        <v>154.16193368389855</v>
      </c>
      <c r="F9">
        <f>(B9/E9)*100</f>
        <v>29685.123237903274</v>
      </c>
      <c r="G9" s="6">
        <v>3.21050000190735</v>
      </c>
      <c r="H9" s="7">
        <f t="shared" si="0"/>
        <v>6.188327166780109</v>
      </c>
      <c r="I9" s="7">
        <f t="shared" si="1"/>
        <v>13.93954837131613</v>
      </c>
      <c r="K9" s="5"/>
    </row>
    <row r="10" spans="1:13" x14ac:dyDescent="0.25">
      <c r="A10" s="1" t="s">
        <v>8</v>
      </c>
      <c r="B10" s="2">
        <v>51315.131999999998</v>
      </c>
      <c r="C10">
        <v>262416.90000000002</v>
      </c>
      <c r="D10">
        <v>157918.9</v>
      </c>
      <c r="E10">
        <f>(C10/D10)*100</f>
        <v>166.17194015409177</v>
      </c>
      <c r="F10">
        <f>(B10/E10)*100</f>
        <v>30880.744337711472</v>
      </c>
      <c r="G10" s="6">
        <v>3.15639996528625</v>
      </c>
      <c r="H10" s="7">
        <f t="shared" si="0"/>
        <v>4.2316001100934022</v>
      </c>
      <c r="I10" s="7">
        <f t="shared" si="1"/>
        <v>4.027677736845563</v>
      </c>
      <c r="K10" s="5"/>
    </row>
    <row r="11" spans="1:13" x14ac:dyDescent="0.25">
      <c r="A11" s="1" t="s">
        <v>9</v>
      </c>
      <c r="B11" s="2">
        <v>49041.493999999999</v>
      </c>
      <c r="C11">
        <v>275632.2</v>
      </c>
      <c r="D11">
        <v>154078.9</v>
      </c>
      <c r="E11">
        <f>(C11/D11)*100</f>
        <v>178.89029581597481</v>
      </c>
      <c r="F11">
        <f>(B11/E11)*100</f>
        <v>27414.284143422283</v>
      </c>
      <c r="G11" s="6">
        <v>3.2916998863220202</v>
      </c>
      <c r="H11" s="7">
        <f t="shared" si="0"/>
        <v>-2.4316278798801156</v>
      </c>
      <c r="I11" s="7">
        <f t="shared" si="1"/>
        <v>-11.225312953535122</v>
      </c>
      <c r="K11" s="5"/>
    </row>
    <row r="12" spans="1:13" x14ac:dyDescent="0.25">
      <c r="A12" s="1" t="s">
        <v>10</v>
      </c>
      <c r="B12" s="2">
        <v>54060.04</v>
      </c>
      <c r="C12">
        <v>299286</v>
      </c>
      <c r="D12">
        <v>159827.79999999999</v>
      </c>
      <c r="E12">
        <f>(C12/D12)*100</f>
        <v>187.25528349886565</v>
      </c>
      <c r="F12">
        <f>(B12/E12)*100</f>
        <v>28869.700758177798</v>
      </c>
      <c r="G12" s="6">
        <v>4.1187000274658203</v>
      </c>
      <c r="H12" s="7">
        <f t="shared" si="0"/>
        <v>3.7311403443300764</v>
      </c>
      <c r="I12" s="7">
        <f t="shared" si="1"/>
        <v>5.3089718014932163</v>
      </c>
      <c r="K12" s="5"/>
    </row>
    <row r="13" spans="1:13" x14ac:dyDescent="0.25">
      <c r="A13" s="1" t="s">
        <v>11</v>
      </c>
      <c r="B13" s="2">
        <v>58763.356</v>
      </c>
      <c r="C13">
        <v>335027.8</v>
      </c>
      <c r="D13">
        <v>165958.29999999999</v>
      </c>
      <c r="E13">
        <f>(C13/D13)*100</f>
        <v>201.87468779807941</v>
      </c>
      <c r="F13">
        <f>(B13/E13)*100</f>
        <v>29108.828175019506</v>
      </c>
      <c r="G13" s="6">
        <v>4.4745001792907697</v>
      </c>
      <c r="H13" s="7">
        <f t="shared" si="0"/>
        <v>3.8356906620750584</v>
      </c>
      <c r="I13" s="7">
        <f t="shared" si="1"/>
        <v>0.82829891048999182</v>
      </c>
      <c r="K13" s="5"/>
    </row>
    <row r="14" spans="1:13" x14ac:dyDescent="0.25">
      <c r="A14" s="1" t="s">
        <v>12</v>
      </c>
      <c r="B14" s="2">
        <v>66357.327999999994</v>
      </c>
      <c r="C14">
        <v>361348.5</v>
      </c>
      <c r="D14">
        <v>172810.2</v>
      </c>
      <c r="E14">
        <f>(C14/D14)*100</f>
        <v>209.10137248842949</v>
      </c>
      <c r="F14">
        <f>(B14/E14)*100</f>
        <v>31734.525321526449</v>
      </c>
      <c r="G14" s="6">
        <v>3.7544999122619598</v>
      </c>
      <c r="H14" s="7">
        <f t="shared" si="0"/>
        <v>4.1286877486694085</v>
      </c>
      <c r="I14" s="7">
        <f t="shared" si="1"/>
        <v>9.0202777340252194</v>
      </c>
      <c r="K14" s="5"/>
    </row>
    <row r="15" spans="1:13" x14ac:dyDescent="0.25">
      <c r="A15" s="1" t="s">
        <v>13</v>
      </c>
      <c r="B15" s="2">
        <v>71652.635999999999</v>
      </c>
      <c r="C15">
        <v>376539.40000000008</v>
      </c>
      <c r="D15">
        <v>177634.3</v>
      </c>
      <c r="E15">
        <f>(C15/D15)*100</f>
        <v>211.97448916115871</v>
      </c>
      <c r="F15">
        <f>(B15/E15)*100</f>
        <v>33802.480800189289</v>
      </c>
      <c r="G15" s="6">
        <v>5.6458001136779803</v>
      </c>
      <c r="H15" s="7">
        <f t="shared" si="0"/>
        <v>2.791559757468006</v>
      </c>
      <c r="I15" s="7">
        <f t="shared" si="1"/>
        <v>6.5164216502714964</v>
      </c>
      <c r="K15" s="5"/>
    </row>
    <row r="16" spans="1:13" x14ac:dyDescent="0.25">
      <c r="A16" s="1" t="s">
        <v>14</v>
      </c>
      <c r="B16" s="2">
        <v>83702.226999999999</v>
      </c>
      <c r="C16">
        <v>414633.5</v>
      </c>
      <c r="D16">
        <v>183066.5</v>
      </c>
      <c r="E16">
        <f>(C16/D16)*100</f>
        <v>226.49337808938284</v>
      </c>
      <c r="F16">
        <f>(B16/E16)*100</f>
        <v>36955.706037007374</v>
      </c>
      <c r="G16" s="6">
        <v>7.0776000022888201</v>
      </c>
      <c r="H16" s="7">
        <f t="shared" si="0"/>
        <v>3.0580805621436919</v>
      </c>
      <c r="I16" s="7">
        <f t="shared" si="1"/>
        <v>9.328384077657482</v>
      </c>
      <c r="K16" s="5"/>
    </row>
    <row r="17" spans="1:23" x14ac:dyDescent="0.25">
      <c r="A17" s="1" t="s">
        <v>15</v>
      </c>
      <c r="B17" s="2">
        <v>95723.714999999997</v>
      </c>
      <c r="C17">
        <v>460405.20000000007</v>
      </c>
      <c r="D17">
        <v>190096.4</v>
      </c>
      <c r="E17">
        <f>(C17/D17)*100</f>
        <v>242.19564389436101</v>
      </c>
      <c r="F17">
        <f>(B17/E17)*100</f>
        <v>39523.301683225989</v>
      </c>
      <c r="G17" s="6">
        <v>6.14729976654053</v>
      </c>
      <c r="H17" s="7">
        <f t="shared" si="0"/>
        <v>3.8400799709395188</v>
      </c>
      <c r="I17" s="7">
        <f t="shared" si="1"/>
        <v>6.9477650992445641</v>
      </c>
      <c r="K17" s="5"/>
    </row>
    <row r="18" spans="1:23" x14ac:dyDescent="0.25">
      <c r="A18" s="1" t="s">
        <v>16</v>
      </c>
      <c r="B18" s="2">
        <v>110093.883</v>
      </c>
      <c r="C18">
        <v>495921.9</v>
      </c>
      <c r="D18">
        <v>197496.8</v>
      </c>
      <c r="E18">
        <f>(C18/D18)*100</f>
        <v>251.10376471922584</v>
      </c>
      <c r="F18">
        <f>(B18/E18)*100</f>
        <v>43843.979449333456</v>
      </c>
      <c r="G18" s="6">
        <v>6.7270998954772896</v>
      </c>
      <c r="H18" s="7">
        <f t="shared" si="0"/>
        <v>3.8929721972641218</v>
      </c>
      <c r="I18" s="7">
        <f t="shared" si="1"/>
        <v>10.931975776561192</v>
      </c>
      <c r="K18" s="5"/>
    </row>
    <row r="19" spans="1:23" x14ac:dyDescent="0.25">
      <c r="A19" s="1" t="s">
        <v>17</v>
      </c>
      <c r="B19" s="2">
        <v>123184.274</v>
      </c>
      <c r="C19">
        <v>542569.6</v>
      </c>
      <c r="D19">
        <v>207061.4</v>
      </c>
      <c r="E19">
        <f>(C19/D19)*100</f>
        <v>262.03319401877894</v>
      </c>
      <c r="F19">
        <f>(B19/E19)*100</f>
        <v>47010.942434709948</v>
      </c>
      <c r="G19" s="6">
        <v>5.5278000831604004</v>
      </c>
      <c r="H19" s="7">
        <f t="shared" si="0"/>
        <v>4.8429139105038699</v>
      </c>
      <c r="I19" s="7">
        <f>((F19-F18)/F18)*$K$3</f>
        <v>7.2232562489822962</v>
      </c>
      <c r="K19" s="5"/>
    </row>
    <row r="20" spans="1:23" x14ac:dyDescent="0.25">
      <c r="G20" s="6"/>
      <c r="H20" s="8"/>
      <c r="I20" s="8"/>
    </row>
    <row r="22" spans="1:23" x14ac:dyDescent="0.25">
      <c r="B22" s="3" t="s">
        <v>18</v>
      </c>
      <c r="C22" s="3"/>
      <c r="D22" s="3"/>
      <c r="E22" s="3"/>
    </row>
    <row r="23" spans="1:23" x14ac:dyDescent="0.25">
      <c r="B23" s="4"/>
      <c r="C23" s="4"/>
      <c r="D23" s="4"/>
      <c r="E23" s="4"/>
    </row>
    <row r="26" spans="1:23" x14ac:dyDescent="0.25">
      <c r="E26" s="6"/>
      <c r="F26" s="6">
        <v>4</v>
      </c>
      <c r="G26" s="6">
        <v>4.0199999809265101</v>
      </c>
      <c r="H26" s="6">
        <v>5.3000001907348597</v>
      </c>
      <c r="I26" s="6">
        <v>5.9899997711181596</v>
      </c>
      <c r="J26" s="6">
        <v>4.9086999893188503</v>
      </c>
      <c r="K26" s="6">
        <v>3.5745000839233398</v>
      </c>
      <c r="L26" s="6">
        <v>3.21050000190735</v>
      </c>
      <c r="M26" s="6">
        <v>3.15639996528625</v>
      </c>
      <c r="N26" s="6">
        <v>3.2916998863220202</v>
      </c>
      <c r="O26" s="6">
        <v>4.1187000274658203</v>
      </c>
      <c r="P26" s="6">
        <v>4.4745001792907697</v>
      </c>
      <c r="Q26" s="6">
        <v>3.7544999122619598</v>
      </c>
      <c r="R26" s="6">
        <v>5.6458001136779803</v>
      </c>
      <c r="S26" s="6">
        <v>7.0776000022888201</v>
      </c>
      <c r="T26" s="6">
        <v>6.14729976654053</v>
      </c>
      <c r="U26" s="6">
        <v>6.7270998954772896</v>
      </c>
      <c r="V26" s="6">
        <v>5.5278000831604004</v>
      </c>
      <c r="W26" s="6">
        <v>5.6483001708984402</v>
      </c>
    </row>
  </sheetData>
  <mergeCells count="1">
    <mergeCell ref="B22:E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Usuario de Windows</cp:lastModifiedBy>
  <dcterms:created xsi:type="dcterms:W3CDTF">2020-05-05T23:30:55Z</dcterms:created>
  <dcterms:modified xsi:type="dcterms:W3CDTF">2020-05-06T05:12:30Z</dcterms:modified>
</cp:coreProperties>
</file>